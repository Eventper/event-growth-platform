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heckCompatibility="1"/>
  <mc:AlternateContent xmlns:mc="http://schemas.openxmlformats.org/markup-compatibility/2006">
    <mc:Choice Requires="x15">
      <x15ac:absPath xmlns:x15ac="http://schemas.microsoft.com/office/spreadsheetml/2010/11/ac" url="https://d.docs.live.net/9210dd4f2224c2f3/Desktop/"/>
    </mc:Choice>
  </mc:AlternateContent>
  <xr:revisionPtr revIDLastSave="1" documentId="8_{C9FA7CF3-5958-411A-B8CF-5E858E5F1C56}" xr6:coauthVersionLast="47" xr6:coauthVersionMax="47" xr10:uidLastSave="{78880964-22A2-40C2-9C48-A6A132A882A5}"/>
  <bookViews>
    <workbookView xWindow="-110" yWindow="-110" windowWidth="19420" windowHeight="11500" xr2:uid="{00000000-000D-0000-FFFF-FFFF00000000}"/>
  </bookViews>
  <sheets>
    <sheet name="Breakdown" sheetId="9" r:id="rId1"/>
    <sheet name="Estimator" sheetId="3" r:id="rId2"/>
  </sheets>
  <definedNames>
    <definedName name="_xlnm.Print_Area" localSheetId="1">Estimator!$A$1:$G$25</definedName>
    <definedName name="valuevx">42.314159</definedName>
    <definedName name="vertex42_copyright" hidden="1">"© 2007-2023 Vertex42.com"</definedName>
    <definedName name="vertex42_id" hidden="1">"wedding-budget.xlsx"</definedName>
    <definedName name="vertex42_title" hidden="1">"Wedding Budget Worksheet"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9" l="1"/>
  <c r="D18" i="9"/>
  <c r="D20" i="9"/>
  <c r="D24" i="9"/>
  <c r="D26" i="9"/>
  <c r="D30" i="9"/>
  <c r="D32" i="9"/>
  <c r="D36" i="9"/>
  <c r="D38" i="9"/>
  <c r="C15" i="9"/>
  <c r="D15" i="9" s="1"/>
  <c r="C16" i="9"/>
  <c r="D16" i="9" s="1"/>
  <c r="C17" i="9"/>
  <c r="D17" i="9" s="1"/>
  <c r="C18" i="9"/>
  <c r="C19" i="9"/>
  <c r="D19" i="9" s="1"/>
  <c r="C20" i="9"/>
  <c r="C21" i="9"/>
  <c r="D21" i="9" s="1"/>
  <c r="C22" i="9"/>
  <c r="D22" i="9" s="1"/>
  <c r="C23" i="9"/>
  <c r="D23" i="9" s="1"/>
  <c r="C24" i="9"/>
  <c r="C25" i="9"/>
  <c r="D25" i="9" s="1"/>
  <c r="C26" i="9"/>
  <c r="C27" i="9"/>
  <c r="D27" i="9" s="1"/>
  <c r="C28" i="9"/>
  <c r="D28" i="9" s="1"/>
  <c r="C29" i="9"/>
  <c r="D29" i="9" s="1"/>
  <c r="C30" i="9"/>
  <c r="C31" i="9"/>
  <c r="D31" i="9" s="1"/>
  <c r="C32" i="9"/>
  <c r="C33" i="9"/>
  <c r="D33" i="9" s="1"/>
  <c r="C34" i="9"/>
  <c r="D34" i="9" s="1"/>
  <c r="C35" i="9"/>
  <c r="D35" i="9" s="1"/>
  <c r="C36" i="9"/>
  <c r="C37" i="9"/>
  <c r="D37" i="9" s="1"/>
  <c r="C38" i="9"/>
  <c r="C14" i="9"/>
  <c r="D14" i="9" s="1"/>
  <c r="E11" i="9"/>
  <c r="I64" i="9"/>
  <c r="G64" i="9"/>
  <c r="F64" i="9"/>
  <c r="A39" i="9"/>
  <c r="B39" i="9"/>
  <c r="D60" i="9"/>
  <c r="B60" i="9"/>
  <c r="A60" i="9"/>
  <c r="I47" i="9"/>
  <c r="G47" i="9"/>
  <c r="F47" i="9"/>
  <c r="I27" i="9"/>
  <c r="G27" i="9"/>
  <c r="F27" i="9"/>
  <c r="B49" i="9"/>
  <c r="A49" i="9"/>
  <c r="F16" i="3"/>
  <c r="D16" i="3"/>
  <c r="C16" i="3" s="1"/>
  <c r="D39" i="9" l="1"/>
  <c r="C15" i="3"/>
  <c r="C14" i="3"/>
  <c r="C7" i="3"/>
  <c r="C11" i="3"/>
  <c r="C13" i="3"/>
  <c r="C12" i="3"/>
  <c r="C10" i="3"/>
  <c r="C9" i="3"/>
  <c r="C8" i="3"/>
  <c r="D49" i="9"/>
  <c r="D44" i="9"/>
  <c r="C45" i="9"/>
  <c r="D45" i="9"/>
  <c r="C44" i="9"/>
  <c r="C49" i="9"/>
  <c r="C46" i="9"/>
  <c r="D46" i="9"/>
  <c r="D48" i="9"/>
  <c r="C48" i="9"/>
  <c r="F11" i="9"/>
  <c r="C47" i="9"/>
  <c r="D47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tc={ECDFDB1F-62A7-4807-A26E-C00CC0CDEA3E}</author>
  </authors>
  <commentList>
    <comment ref="A15" authorId="0" shapeId="0" xr:uid="{ECDFDB1F-62A7-4807-A26E-C00CC0CDEA3E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for all caterers for the reception day</t>
      </text>
    </comment>
  </commentList>
</comments>
</file>

<file path=xl/sharedStrings.xml><?xml version="1.0" encoding="utf-8"?>
<sst xmlns="http://schemas.openxmlformats.org/spreadsheetml/2006/main" count="125" uniqueCount="96">
  <si>
    <t>Party Plannig Budget Management</t>
  </si>
  <si>
    <t>Instruction</t>
  </si>
  <si>
    <t>1. Use the Estimator worksheet to set the estimated budget for each category, listed below the word "Estimated"</t>
  </si>
  <si>
    <t>2. Record estimated amounts for each item in each category, trying to stay below the Estimated budget</t>
  </si>
  <si>
    <t>3. When you make a purchase, add the amount to the Actual column</t>
  </si>
  <si>
    <t>4. Try to make the Total for each category be equal to or less than the Estimated (budgeted) amount</t>
  </si>
  <si>
    <t>Estimated</t>
  </si>
  <si>
    <t xml:space="preserve">Actual </t>
  </si>
  <si>
    <t>Total</t>
  </si>
  <si>
    <t>Reception</t>
  </si>
  <si>
    <t>Quantity</t>
  </si>
  <si>
    <t>Venue fee</t>
  </si>
  <si>
    <t>Ceremony</t>
  </si>
  <si>
    <t>Day Caterers</t>
  </si>
  <si>
    <t>Clergy</t>
  </si>
  <si>
    <t>After Party Caterers</t>
  </si>
  <si>
    <t>Location fee</t>
  </si>
  <si>
    <t xml:space="preserve">Baker/Cake </t>
  </si>
  <si>
    <t>Altar decorations</t>
  </si>
  <si>
    <t>Musician/Band</t>
  </si>
  <si>
    <t>Arch  at entrance</t>
  </si>
  <si>
    <t>Bar tender and Bar</t>
  </si>
  <si>
    <t>Chair/pew rental</t>
  </si>
  <si>
    <t xml:space="preserve">Liquor and Drinks packages </t>
  </si>
  <si>
    <t>Pew/chair decorations</t>
  </si>
  <si>
    <t>Security</t>
  </si>
  <si>
    <t>Guest book/pen</t>
  </si>
  <si>
    <t>Bouncers</t>
  </si>
  <si>
    <t>Full Church Decor</t>
  </si>
  <si>
    <t>Lastma</t>
  </si>
  <si>
    <t>Guest  food Pack if applicable</t>
  </si>
  <si>
    <t>Small chops</t>
  </si>
  <si>
    <t>Video/Photographer</t>
  </si>
  <si>
    <t>DJ</t>
  </si>
  <si>
    <t>Gratuity to choir or Pastors</t>
  </si>
  <si>
    <t>Desert</t>
  </si>
  <si>
    <t>External Transportation for guest</t>
  </si>
  <si>
    <t>Full Decor</t>
  </si>
  <si>
    <t>Entrance Full Branding with pictures</t>
  </si>
  <si>
    <t>Ushers</t>
  </si>
  <si>
    <t>Outdoor set up for onsite cooking caterers</t>
  </si>
  <si>
    <t>Cocktails and Mocktails</t>
  </si>
  <si>
    <t>Photobooth Set up</t>
  </si>
  <si>
    <t>Entertainment if any</t>
  </si>
  <si>
    <t>MC</t>
  </si>
  <si>
    <t>Dance floor and Special effectS</t>
  </si>
  <si>
    <t>Stage and Branding</t>
  </si>
  <si>
    <t>Outdoor set up for Drivers</t>
  </si>
  <si>
    <t>Stationery</t>
  </si>
  <si>
    <t>Physical Invitations</t>
  </si>
  <si>
    <t>Digital Event Website</t>
  </si>
  <si>
    <t>QR Codes</t>
  </si>
  <si>
    <t>[42]</t>
  </si>
  <si>
    <t>Digital Save the dates</t>
  </si>
  <si>
    <t>Photography / Video</t>
  </si>
  <si>
    <t>Church Programme</t>
  </si>
  <si>
    <t>Portraits</t>
  </si>
  <si>
    <t>Event Moogramme Design</t>
  </si>
  <si>
    <t>Calligrapher</t>
  </si>
  <si>
    <t>Guest souvenir printing</t>
  </si>
  <si>
    <t>Photo albums</t>
  </si>
  <si>
    <t>Videography both days</t>
  </si>
  <si>
    <t>After Party -After 10pm</t>
  </si>
  <si>
    <t>Event Perfekt Fees</t>
  </si>
  <si>
    <t>Planner</t>
  </si>
  <si>
    <t xml:space="preserve">Party Planner </t>
  </si>
  <si>
    <t xml:space="preserve">Cordinator </t>
  </si>
  <si>
    <t xml:space="preserve">Day Cordination Reception </t>
  </si>
  <si>
    <t xml:space="preserve">Drinks </t>
  </si>
  <si>
    <t>Day-Cordinator Ceremony</t>
  </si>
  <si>
    <t>Caterer</t>
  </si>
  <si>
    <t xml:space="preserve">Supervisors Reception </t>
  </si>
  <si>
    <t>Ushers Ceremony</t>
  </si>
  <si>
    <t>Usherers reception</t>
  </si>
  <si>
    <t>Supervisors</t>
  </si>
  <si>
    <t>Night food</t>
  </si>
  <si>
    <t>Wedding Budget Estimator</t>
  </si>
  <si>
    <t>© 2007-2023 Vertex42.com</t>
  </si>
  <si>
    <t>Allowable Budget</t>
  </si>
  <si>
    <t>Estimate</t>
  </si>
  <si>
    <t>%</t>
  </si>
  <si>
    <t>Default %</t>
  </si>
  <si>
    <t>Flowers</t>
  </si>
  <si>
    <t>Photogrphy and Video</t>
  </si>
  <si>
    <t>EP Fees</t>
  </si>
  <si>
    <t>After Party</t>
  </si>
  <si>
    <t>Stationaries</t>
  </si>
  <si>
    <t>Favors &amp; Gifts</t>
  </si>
  <si>
    <t>Misc</t>
  </si>
  <si>
    <t>Sum</t>
  </si>
  <si>
    <t>Instructions</t>
  </si>
  <si>
    <t>1. Set an allowable budget amount</t>
  </si>
  <si>
    <t>2. Adjust the percentages as needed</t>
  </si>
  <si>
    <t>3. Make the percentages total to 100%</t>
  </si>
  <si>
    <t>4. Transfer the amounts to the Budget worksheet (done automatically)</t>
  </si>
  <si>
    <r>
      <t xml:space="preserve">Note: </t>
    </r>
    <r>
      <rPr>
        <sz val="10"/>
        <color theme="3"/>
        <rFont val="Century Gothic"/>
        <family val="2"/>
      </rPr>
      <t>The Default % values are only rough suggestions to get you started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</si>
</sst>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$&quot;* #,##0_);_(&quot;$&quot;* \(#,##0\);_(&quot;$&quot;* &quot;-&quot;??_);_(@_)"/>
    <numFmt numFmtId="167" formatCode="_-[$₦-46A]* #,##0.00_-;\-[$₦-46A]* #,##0.00_-;_-[$₦-46A]* &quot;-&quot;??_-;_-@_-"/>
  </numFmts>
  <fonts count="40" x14ac:knownFonts="1">
    <font>
      <sz val="10"/>
      <name val="Century Gothic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color indexed="60"/>
      <name val="Century Gothic"/>
      <family val="2"/>
    </font>
    <font>
      <sz val="12"/>
      <name val="Century Gothic"/>
      <family val="2"/>
    </font>
    <font>
      <sz val="8"/>
      <name val="Century Gothic"/>
      <family val="2"/>
    </font>
    <font>
      <b/>
      <sz val="10"/>
      <color theme="7" tint="-0.249977111117893"/>
      <name val="Century Gothic"/>
      <family val="2"/>
    </font>
    <font>
      <sz val="10"/>
      <color theme="7" tint="-0.249977111117893"/>
      <name val="Century Gothic"/>
      <family val="2"/>
    </font>
    <font>
      <b/>
      <sz val="10"/>
      <color theme="0"/>
      <name val="Century Gothic"/>
      <family val="2"/>
    </font>
    <font>
      <sz val="10"/>
      <color theme="0"/>
      <name val="Century Gothic"/>
      <family val="2"/>
    </font>
    <font>
      <b/>
      <sz val="10"/>
      <color theme="7" tint="-0.499984740745262"/>
      <name val="Century Gothic"/>
      <family val="2"/>
    </font>
    <font>
      <sz val="10"/>
      <color theme="7" tint="-0.499984740745262"/>
      <name val="Century Gothic"/>
      <family val="2"/>
    </font>
    <font>
      <sz val="10"/>
      <color theme="7" tint="0.79998168889431442"/>
      <name val="Century Gothic"/>
      <family val="2"/>
    </font>
    <font>
      <b/>
      <sz val="12"/>
      <color theme="0"/>
      <name val="Century Gothic"/>
      <family val="2"/>
    </font>
    <font>
      <b/>
      <sz val="14"/>
      <color theme="0"/>
      <name val="Century Gothic"/>
      <family val="2"/>
    </font>
    <font>
      <sz val="9"/>
      <color theme="7" tint="-0.499984740745262"/>
      <name val="Century Gothic"/>
      <family val="2"/>
    </font>
    <font>
      <b/>
      <sz val="11"/>
      <color theme="4" tint="-0.499984740745262"/>
      <name val="Century Gothic"/>
      <family val="2"/>
    </font>
    <font>
      <b/>
      <sz val="10"/>
      <color theme="4" tint="-0.249977111117893"/>
      <name val="Century Gothic"/>
      <family val="2"/>
    </font>
    <font>
      <sz val="9"/>
      <color theme="3"/>
      <name val="Century Gothic"/>
      <family val="2"/>
    </font>
    <font>
      <sz val="9"/>
      <color theme="4" tint="-0.499984740745262"/>
      <name val="Century Gothic"/>
      <family val="2"/>
    </font>
    <font>
      <b/>
      <sz val="14"/>
      <color theme="4" tint="-0.499984740745262"/>
      <name val="Century Gothic"/>
      <family val="2"/>
    </font>
    <font>
      <sz val="1"/>
      <color theme="2"/>
      <name val="Century Gothic"/>
      <family val="2"/>
    </font>
    <font>
      <b/>
      <sz val="10"/>
      <color theme="3"/>
      <name val="Century Gothic"/>
      <family val="2"/>
    </font>
    <font>
      <sz val="10"/>
      <color theme="3"/>
      <name val="Century Gothic"/>
      <family val="2"/>
    </font>
    <font>
      <b/>
      <sz val="10"/>
      <color theme="3" tint="-0.249977111117893"/>
      <name val="Century Gothic"/>
      <family val="2"/>
    </font>
    <font>
      <sz val="10"/>
      <color theme="3" tint="-0.249977111117893"/>
      <name val="Century Gothic"/>
      <family val="2"/>
    </font>
    <font>
      <sz val="10"/>
      <color theme="4" tint="0.59999389629810485"/>
      <name val="Century Gothic"/>
      <family val="2"/>
    </font>
    <font>
      <sz val="24"/>
      <color theme="4" tint="0.59999389629810485"/>
      <name val="Cambria"/>
      <family val="1"/>
    </font>
    <font>
      <sz val="8"/>
      <color theme="4" tint="0.59999389629810485"/>
      <name val="Century Gothic"/>
      <family val="2"/>
    </font>
    <font>
      <b/>
      <sz val="12"/>
      <color theme="3"/>
      <name val="Century Gothic"/>
      <family val="2"/>
    </font>
    <font>
      <b/>
      <sz val="12"/>
      <color theme="4" tint="-0.249977111117893"/>
      <name val="Century Gothic"/>
      <family val="2"/>
    </font>
    <font>
      <b/>
      <sz val="12"/>
      <color theme="4" tint="-0.499984740745262"/>
      <name val="Century Gothic"/>
      <family val="2"/>
    </font>
    <font>
      <sz val="12"/>
      <color theme="4" tint="-0.499984740745262"/>
      <name val="Century Gothic"/>
      <family val="2"/>
    </font>
    <font>
      <u/>
      <sz val="10"/>
      <color theme="3"/>
      <name val="Century Gothic"/>
      <family val="2"/>
    </font>
    <font>
      <u/>
      <sz val="10"/>
      <color rgb="FF0000FF"/>
      <name val="Arial"/>
      <family val="2"/>
    </font>
    <font>
      <sz val="9"/>
      <color theme="0"/>
      <name val="Century Gothic"/>
      <family val="2"/>
    </font>
    <font>
      <sz val="26"/>
      <color theme="0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520202"/>
        <bgColor indexed="64"/>
      </patternFill>
    </fill>
    <fill>
      <patternFill patternType="solid">
        <fgColor rgb="FFE3DCDE"/>
        <bgColor indexed="64"/>
      </patternFill>
    </fill>
  </fills>
  <borders count="9">
    <border>
      <left/>
      <right/>
      <top/>
      <bottom/>
      <diagonal/>
    </border>
    <border>
      <left/>
      <right/>
      <top style="double">
        <color theme="4" tint="-0.24994659260841701"/>
      </top>
      <bottom/>
      <diagonal/>
    </border>
    <border>
      <left/>
      <right/>
      <top/>
      <bottom style="double">
        <color theme="4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uble">
        <color theme="4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0" fontId="37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0" fillId="6" borderId="0" xfId="0" applyFill="1"/>
    <xf numFmtId="0" fontId="20" fillId="6" borderId="0" xfId="0" applyFont="1" applyFill="1"/>
    <xf numFmtId="0" fontId="10" fillId="6" borderId="0" xfId="0" applyFont="1" applyFill="1"/>
    <xf numFmtId="0" fontId="22" fillId="6" borderId="0" xfId="0" applyFont="1" applyFill="1"/>
    <xf numFmtId="0" fontId="18" fillId="6" borderId="0" xfId="0" applyFont="1" applyFill="1"/>
    <xf numFmtId="0" fontId="8" fillId="6" borderId="0" xfId="0" applyFont="1" applyFill="1" applyAlignment="1">
      <alignment horizontal="left"/>
    </xf>
    <xf numFmtId="0" fontId="19" fillId="6" borderId="0" xfId="0" applyFont="1" applyFill="1" applyAlignment="1">
      <alignment horizontal="right" indent="1"/>
    </xf>
    <xf numFmtId="0" fontId="0" fillId="6" borderId="0" xfId="0" applyFill="1" applyAlignment="1">
      <alignment vertical="center"/>
    </xf>
    <xf numFmtId="0" fontId="6" fillId="6" borderId="0" xfId="0" applyFont="1" applyFill="1" applyAlignment="1">
      <alignment horizontal="right" vertical="center"/>
    </xf>
    <xf numFmtId="0" fontId="4" fillId="6" borderId="0" xfId="0" applyFont="1" applyFill="1"/>
    <xf numFmtId="0" fontId="9" fillId="6" borderId="0" xfId="0" applyFont="1" applyFill="1"/>
    <xf numFmtId="0" fontId="24" fillId="6" borderId="0" xfId="0" applyFont="1" applyFill="1"/>
    <xf numFmtId="0" fontId="30" fillId="3" borderId="0" xfId="0" applyFont="1" applyFill="1" applyAlignment="1">
      <alignment horizontal="centerContinuous" vertical="center"/>
    </xf>
    <xf numFmtId="0" fontId="29" fillId="3" borderId="0" xfId="0" applyFont="1" applyFill="1" applyAlignment="1">
      <alignment horizontal="centerContinuous"/>
    </xf>
    <xf numFmtId="0" fontId="29" fillId="4" borderId="0" xfId="0" applyFont="1" applyFill="1"/>
    <xf numFmtId="0" fontId="31" fillId="4" borderId="0" xfId="0" applyFont="1" applyFill="1" applyAlignment="1">
      <alignment horizontal="right"/>
    </xf>
    <xf numFmtId="0" fontId="16" fillId="4" borderId="0" xfId="0" applyFont="1" applyFill="1" applyAlignment="1">
      <alignment horizontal="left" vertical="center" indent="1"/>
    </xf>
    <xf numFmtId="164" fontId="34" fillId="2" borderId="0" xfId="2" applyFont="1" applyFill="1" applyBorder="1" applyAlignment="1">
      <alignment vertical="center"/>
    </xf>
    <xf numFmtId="0" fontId="15" fillId="6" borderId="0" xfId="0" applyFont="1" applyFill="1"/>
    <xf numFmtId="0" fontId="14" fillId="6" borderId="0" xfId="0" applyFont="1" applyFill="1"/>
    <xf numFmtId="0" fontId="14" fillId="6" borderId="0" xfId="0" applyFont="1" applyFill="1" applyAlignment="1">
      <alignment horizontal="left"/>
    </xf>
    <xf numFmtId="0" fontId="13" fillId="6" borderId="0" xfId="0" applyFont="1" applyFill="1" applyAlignment="1">
      <alignment horizontal="left"/>
    </xf>
    <xf numFmtId="0" fontId="2" fillId="6" borderId="0" xfId="0" applyFont="1" applyFill="1"/>
    <xf numFmtId="0" fontId="4" fillId="6" borderId="0" xfId="0" applyFont="1" applyFill="1" applyAlignment="1">
      <alignment vertical="center"/>
    </xf>
    <xf numFmtId="0" fontId="4" fillId="6" borderId="0" xfId="0" applyFont="1" applyFill="1" applyAlignment="1">
      <alignment horizontal="left" indent="1"/>
    </xf>
    <xf numFmtId="0" fontId="7" fillId="6" borderId="2" xfId="0" applyFont="1" applyFill="1" applyBorder="1" applyAlignment="1">
      <alignment horizontal="left" indent="1"/>
    </xf>
    <xf numFmtId="0" fontId="14" fillId="6" borderId="0" xfId="0" applyFont="1" applyFill="1" applyAlignment="1">
      <alignment vertical="center"/>
    </xf>
    <xf numFmtId="0" fontId="20" fillId="6" borderId="2" xfId="0" applyFont="1" applyFill="1" applyBorder="1" applyAlignment="1">
      <alignment horizontal="center"/>
    </xf>
    <xf numFmtId="0" fontId="25" fillId="6" borderId="0" xfId="0" applyFont="1" applyFill="1"/>
    <xf numFmtId="0" fontId="26" fillId="6" borderId="0" xfId="0" applyFont="1" applyFill="1" applyAlignment="1">
      <alignment horizontal="left"/>
    </xf>
    <xf numFmtId="0" fontId="25" fillId="6" borderId="0" xfId="0" applyFont="1" applyFill="1" applyAlignment="1">
      <alignment horizontal="left"/>
    </xf>
    <xf numFmtId="0" fontId="32" fillId="5" borderId="1" xfId="0" applyFont="1" applyFill="1" applyBorder="1" applyAlignment="1">
      <alignment horizontal="right" vertical="center"/>
    </xf>
    <xf numFmtId="165" fontId="32" fillId="5" borderId="1" xfId="1" applyFont="1" applyFill="1" applyBorder="1" applyAlignment="1">
      <alignment vertical="center"/>
    </xf>
    <xf numFmtId="9" fontId="32" fillId="5" borderId="1" xfId="0" applyNumberFormat="1" applyFont="1" applyFill="1" applyBorder="1" applyAlignment="1">
      <alignment horizontal="center" vertical="center"/>
    </xf>
    <xf numFmtId="0" fontId="26" fillId="6" borderId="0" xfId="0" applyFont="1" applyFill="1" applyAlignment="1">
      <alignment horizontal="left" indent="1"/>
    </xf>
    <xf numFmtId="0" fontId="21" fillId="6" borderId="0" xfId="0" applyFont="1" applyFill="1" applyAlignment="1">
      <alignment horizontal="left" indent="1"/>
    </xf>
    <xf numFmtId="165" fontId="26" fillId="2" borderId="3" xfId="1" applyFont="1" applyFill="1" applyBorder="1"/>
    <xf numFmtId="165" fontId="26" fillId="2" borderId="4" xfId="1" applyFont="1" applyFill="1" applyBorder="1"/>
    <xf numFmtId="165" fontId="26" fillId="2" borderId="5" xfId="1" applyFont="1" applyFill="1" applyBorder="1"/>
    <xf numFmtId="0" fontId="33" fillId="6" borderId="0" xfId="0" applyFont="1" applyFill="1" applyAlignment="1">
      <alignment horizontal="left" vertical="center" indent="1"/>
    </xf>
    <xf numFmtId="9" fontId="35" fillId="2" borderId="6" xfId="4" applyFont="1" applyFill="1" applyBorder="1" applyAlignment="1">
      <alignment horizontal="center" vertical="center"/>
    </xf>
    <xf numFmtId="165" fontId="35" fillId="2" borderId="7" xfId="1" applyFont="1" applyFill="1" applyBorder="1" applyAlignment="1">
      <alignment vertical="center"/>
    </xf>
    <xf numFmtId="9" fontId="35" fillId="2" borderId="8" xfId="4" applyFont="1" applyFill="1" applyBorder="1" applyAlignment="1">
      <alignment horizontal="center" vertical="center"/>
    </xf>
    <xf numFmtId="0" fontId="26" fillId="6" borderId="0" xfId="0" applyFont="1" applyFill="1" applyAlignment="1">
      <alignment horizontal="right"/>
    </xf>
    <xf numFmtId="0" fontId="5" fillId="6" borderId="0" xfId="0" applyFont="1" applyFill="1" applyAlignment="1">
      <alignment horizontal="right"/>
    </xf>
    <xf numFmtId="0" fontId="19" fillId="6" borderId="0" xfId="0" applyFont="1" applyFill="1" applyAlignment="1">
      <alignment horizontal="right"/>
    </xf>
    <xf numFmtId="165" fontId="26" fillId="2" borderId="0" xfId="1" applyFont="1" applyFill="1" applyBorder="1"/>
    <xf numFmtId="0" fontId="4" fillId="2" borderId="0" xfId="0" applyFont="1" applyFill="1"/>
    <xf numFmtId="0" fontId="26" fillId="2" borderId="0" xfId="0" applyFont="1" applyFill="1" applyAlignment="1">
      <alignment horizontal="right"/>
    </xf>
    <xf numFmtId="0" fontId="11" fillId="2" borderId="0" xfId="0" applyFont="1" applyFill="1" applyAlignment="1">
      <alignment horizontal="left" indent="1"/>
    </xf>
    <xf numFmtId="165" fontId="12" fillId="2" borderId="0" xfId="0" applyNumberFormat="1" applyFont="1" applyFill="1"/>
    <xf numFmtId="0" fontId="11" fillId="2" borderId="0" xfId="0" applyFont="1" applyFill="1"/>
    <xf numFmtId="0" fontId="21" fillId="2" borderId="0" xfId="0" applyFont="1" applyFill="1" applyAlignment="1">
      <alignment horizontal="left" indent="1"/>
    </xf>
    <xf numFmtId="0" fontId="26" fillId="2" borderId="0" xfId="0" applyFont="1" applyFill="1" applyAlignment="1">
      <alignment horizontal="left" indent="1"/>
    </xf>
    <xf numFmtId="0" fontId="27" fillId="2" borderId="0" xfId="0" applyFont="1" applyFill="1" applyAlignment="1">
      <alignment horizontal="right" indent="1"/>
    </xf>
    <xf numFmtId="165" fontId="28" fillId="2" borderId="0" xfId="0" applyNumberFormat="1" applyFont="1" applyFill="1"/>
    <xf numFmtId="0" fontId="11" fillId="7" borderId="0" xfId="0" applyFont="1" applyFill="1" applyAlignment="1">
      <alignment horizontal="left" indent="1"/>
    </xf>
    <xf numFmtId="165" fontId="12" fillId="7" borderId="0" xfId="0" applyNumberFormat="1" applyFont="1" applyFill="1"/>
    <xf numFmtId="0" fontId="12" fillId="7" borderId="0" xfId="0" applyFont="1" applyFill="1"/>
    <xf numFmtId="0" fontId="21" fillId="8" borderId="0" xfId="0" applyFont="1" applyFill="1" applyAlignment="1">
      <alignment horizontal="left" indent="1"/>
    </xf>
    <xf numFmtId="0" fontId="26" fillId="8" borderId="0" xfId="0" applyFont="1" applyFill="1" applyAlignment="1">
      <alignment horizontal="left" indent="1"/>
    </xf>
    <xf numFmtId="165" fontId="28" fillId="7" borderId="1" xfId="0" applyNumberFormat="1" applyFont="1" applyFill="1" applyBorder="1"/>
    <xf numFmtId="0" fontId="38" fillId="2" borderId="0" xfId="0" applyFont="1" applyFill="1" applyAlignment="1">
      <alignment horizontal="left" indent="1"/>
    </xf>
    <xf numFmtId="0" fontId="11" fillId="7" borderId="1" xfId="0" applyFont="1" applyFill="1" applyBorder="1" applyAlignment="1">
      <alignment horizontal="right" indent="1"/>
    </xf>
    <xf numFmtId="165" fontId="12" fillId="7" borderId="1" xfId="0" applyNumberFormat="1" applyFont="1" applyFill="1" applyBorder="1"/>
    <xf numFmtId="0" fontId="11" fillId="7" borderId="0" xfId="0" applyFont="1" applyFill="1" applyAlignment="1">
      <alignment horizontal="right" indent="1"/>
    </xf>
    <xf numFmtId="0" fontId="0" fillId="2" borderId="0" xfId="0" applyFill="1"/>
    <xf numFmtId="0" fontId="17" fillId="7" borderId="0" xfId="0" applyFont="1" applyFill="1" applyAlignment="1">
      <alignment horizontal="right" vertical="center"/>
    </xf>
    <xf numFmtId="166" fontId="17" fillId="7" borderId="0" xfId="2" applyNumberFormat="1" applyFont="1" applyFill="1" applyBorder="1" applyAlignment="1">
      <alignment horizontal="left" vertical="center" indent="6"/>
    </xf>
    <xf numFmtId="166" fontId="23" fillId="7" borderId="0" xfId="2" applyNumberFormat="1" applyFont="1" applyFill="1" applyBorder="1" applyAlignment="1">
      <alignment horizontal="left" vertical="center" indent="3"/>
    </xf>
    <xf numFmtId="167" fontId="23" fillId="7" borderId="0" xfId="2" applyNumberFormat="1" applyFont="1" applyFill="1" applyBorder="1" applyAlignment="1">
      <alignment horizontal="left" vertical="center" indent="3"/>
    </xf>
    <xf numFmtId="0" fontId="39" fillId="7" borderId="0" xfId="0" applyFont="1" applyFill="1"/>
    <xf numFmtId="0" fontId="39" fillId="7" borderId="0" xfId="0" applyFont="1" applyFill="1" applyAlignment="1">
      <alignment wrapText="1"/>
    </xf>
    <xf numFmtId="0" fontId="5" fillId="6" borderId="0" xfId="0" applyFont="1" applyFill="1" applyAlignment="1">
      <alignment horizontal="right"/>
    </xf>
    <xf numFmtId="0" fontId="36" fillId="6" borderId="0" xfId="5" applyFont="1" applyFill="1" applyAlignment="1">
      <alignment horizontal="left" vertical="center"/>
    </xf>
  </cellXfs>
  <cellStyles count="6">
    <cellStyle name="Comma" xfId="1" builtinId="3"/>
    <cellStyle name="Currency" xfId="2" builtinId="4"/>
    <cellStyle name="Hyperlink" xfId="3" builtinId="8" hidden="1"/>
    <cellStyle name="Hyperlink" xfId="5" builtinId="8" customBuiltin="1"/>
    <cellStyle name="Normal" xfId="0" builtinId="0"/>
    <cellStyle name="Per cent" xfId="4" builtinId="5"/>
  </cellStyles>
  <dxfs count="2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B1E5E5"/>
      <rgbColor rgb="000000FF"/>
      <rgbColor rgb="00B1B1E5"/>
      <rgbColor rgb="00FF00FF"/>
      <rgbColor rgb="0000FFFF"/>
      <rgbColor rgb="00800000"/>
      <rgbColor rgb="0039ACAC"/>
      <rgbColor rgb="00000080"/>
      <rgbColor rgb="003939AC"/>
      <rgbColor rgb="00D1A375"/>
      <rgbColor rgb="00008080"/>
      <rgbColor rgb="00EEEEEE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CF9F9"/>
      <rgbColor rgb="00ECECF9"/>
      <rgbColor rgb="0099CCFF"/>
      <rgbColor rgb="00FF99CC"/>
      <rgbColor rgb="00F9F2EC"/>
      <rgbColor rgb="00ECF2F9"/>
      <rgbColor rgb="003366FF"/>
      <rgbColor rgb="0033CCCC"/>
      <rgbColor rgb="007575D1"/>
      <rgbColor rgb="00B1CBE5"/>
      <rgbColor rgb="0075A3D1"/>
      <rgbColor rgb="003973AC"/>
      <rgbColor rgb="00AC7339"/>
      <rgbColor rgb="00B2B2B2"/>
      <rgbColor rgb="00003366"/>
      <rgbColor rgb="0075D1D1"/>
      <rgbColor rgb="00216363"/>
      <rgbColor rgb="00212163"/>
      <rgbColor rgb="00214263"/>
      <rgbColor rgb="00E5CBB1"/>
      <rgbColor rgb="00634221"/>
      <rgbColor rgb="00333333"/>
    </indexedColors>
    <mruColors>
      <color rgb="FF520202"/>
      <color rgb="FFE3DCDE"/>
      <color rgb="FF0000FF"/>
      <color rgb="FFFBF9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olu Johnson" id="{3B9C8D30-1F93-4B08-9DDF-2E5B33DCBE36}" userId="9210dd4f2224c2f3" providerId="Windows Live"/>
</personList>
</file>

<file path=xl/theme/theme1.xml><?xml version="1.0" encoding="utf-8"?>
<a:theme xmlns:a="http://schemas.openxmlformats.org/drawingml/2006/main" name="Office Theme">
  <a:themeElements>
    <a:clrScheme name="Wedding2">
      <a:dk1>
        <a:sysClr val="windowText" lastClr="000000"/>
      </a:dk1>
      <a:lt1>
        <a:sysClr val="window" lastClr="FFFFFF"/>
      </a:lt1>
      <a:dk2>
        <a:srgbClr val="5C376B"/>
      </a:dk2>
      <a:lt2>
        <a:srgbClr val="F2E6F0"/>
      </a:lt2>
      <a:accent1>
        <a:srgbClr val="AF86C0"/>
      </a:accent1>
      <a:accent2>
        <a:srgbClr val="9486C0"/>
      </a:accent2>
      <a:accent3>
        <a:srgbClr val="97C086"/>
      </a:accent3>
      <a:accent4>
        <a:srgbClr val="86B4C0"/>
      </a:accent4>
      <a:accent5>
        <a:srgbClr val="86C0B1"/>
      </a:accent5>
      <a:accent6>
        <a:srgbClr val="C086B4"/>
      </a:accent6>
      <a:hlink>
        <a:srgbClr val="95BDC8"/>
      </a:hlink>
      <a:folHlink>
        <a:srgbClr val="B995C8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5" dT="2025-07-26T15:05:10.01" personId="{3B9C8D30-1F93-4B08-9DDF-2E5B33DCBE36}" id="{ECDFDB1F-62A7-4807-A26E-C00CC0CDEA3E}">
    <text>Total for all caterers for the reception day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3176D-DEE6-41EF-ABDB-693DFCB36CBD}">
  <dimension ref="A1:I76"/>
  <sheetViews>
    <sheetView tabSelected="1" topLeftCell="A25" workbookViewId="0">
      <selection activeCell="A41" sqref="A41:XFD41"/>
    </sheetView>
  </sheetViews>
  <sheetFormatPr defaultRowHeight="12.5" x14ac:dyDescent="0.25"/>
  <cols>
    <col min="1" max="1" width="69.453125" customWidth="1"/>
    <col min="2" max="2" width="9.7265625" bestFit="1" customWidth="1"/>
    <col min="3" max="3" width="10.7265625" bestFit="1" customWidth="1"/>
    <col min="5" max="5" width="15.1796875" customWidth="1"/>
    <col min="6" max="6" width="33.26953125" customWidth="1"/>
    <col min="8" max="8" width="12.7265625" customWidth="1"/>
    <col min="9" max="9" width="12.81640625" customWidth="1"/>
    <col min="10" max="10" width="8.54296875" customWidth="1"/>
  </cols>
  <sheetData>
    <row r="1" spans="1:9" ht="65" x14ac:dyDescent="0.6">
      <c r="A1" s="76" t="s">
        <v>0</v>
      </c>
      <c r="B1" s="75"/>
      <c r="C1" s="75"/>
    </row>
    <row r="2" spans="1:9" ht="32.5" x14ac:dyDescent="0.6">
      <c r="A2" s="75"/>
      <c r="B2" s="75"/>
      <c r="C2" s="75"/>
    </row>
    <row r="3" spans="1:9" x14ac:dyDescent="0.25">
      <c r="A3" s="4"/>
      <c r="B3" s="4"/>
      <c r="C3" s="13"/>
      <c r="D3" s="13"/>
      <c r="E3" s="13"/>
      <c r="F3" s="77"/>
      <c r="G3" s="77"/>
      <c r="H3" s="77"/>
      <c r="I3" s="48"/>
    </row>
    <row r="4" spans="1:9" x14ac:dyDescent="0.25">
      <c r="A4" s="5" t="s">
        <v>1</v>
      </c>
      <c r="B4" s="6"/>
      <c r="C4" s="6"/>
      <c r="D4" s="6"/>
      <c r="E4" s="6"/>
      <c r="F4" s="6"/>
      <c r="G4" s="6"/>
      <c r="H4" s="6"/>
      <c r="I4" s="4"/>
    </row>
    <row r="5" spans="1:9" ht="13" x14ac:dyDescent="0.3">
      <c r="A5" s="7" t="s">
        <v>2</v>
      </c>
      <c r="B5" s="8"/>
      <c r="C5" s="8"/>
      <c r="D5" s="8"/>
      <c r="E5" s="8"/>
      <c r="F5" s="8"/>
      <c r="G5" s="8"/>
      <c r="H5" s="8"/>
      <c r="I5" s="9"/>
    </row>
    <row r="6" spans="1:9" ht="13" x14ac:dyDescent="0.3">
      <c r="A6" s="7" t="s">
        <v>3</v>
      </c>
      <c r="B6" s="8"/>
      <c r="C6" s="8"/>
      <c r="D6" s="8"/>
      <c r="E6" s="8"/>
      <c r="F6" s="8"/>
      <c r="G6" s="8"/>
      <c r="H6" s="8"/>
      <c r="I6" s="9"/>
    </row>
    <row r="7" spans="1:9" ht="13" x14ac:dyDescent="0.3">
      <c r="A7" s="7" t="s">
        <v>4</v>
      </c>
      <c r="B7" s="8"/>
      <c r="C7" s="8"/>
      <c r="D7" s="8"/>
      <c r="E7" s="8"/>
      <c r="F7" s="8"/>
      <c r="G7" s="8"/>
      <c r="H7" s="8"/>
      <c r="I7" s="9"/>
    </row>
    <row r="8" spans="1:9" ht="13" x14ac:dyDescent="0.3">
      <c r="A8" s="7" t="s">
        <v>5</v>
      </c>
      <c r="B8" s="8"/>
      <c r="C8" s="8"/>
      <c r="D8" s="8"/>
      <c r="E8" s="8"/>
      <c r="F8" s="8"/>
      <c r="G8" s="8"/>
      <c r="H8" s="8"/>
      <c r="I8" s="9"/>
    </row>
    <row r="9" spans="1:9" x14ac:dyDescent="0.25">
      <c r="A9" s="13"/>
      <c r="B9" s="13"/>
      <c r="C9" s="13"/>
      <c r="D9" s="13"/>
      <c r="E9" s="13"/>
      <c r="F9" s="13"/>
      <c r="G9" s="13"/>
      <c r="H9" s="13"/>
      <c r="I9" s="13"/>
    </row>
    <row r="10" spans="1:9" ht="14" x14ac:dyDescent="0.3">
      <c r="A10" s="13"/>
      <c r="B10" s="13"/>
      <c r="C10" s="13"/>
      <c r="D10" s="4"/>
      <c r="E10" s="10" t="s">
        <v>6</v>
      </c>
      <c r="F10" s="49" t="s">
        <v>7</v>
      </c>
      <c r="G10" s="49"/>
      <c r="H10" s="49"/>
      <c r="I10" s="4"/>
    </row>
    <row r="11" spans="1:9" ht="17.5" x14ac:dyDescent="0.25">
      <c r="A11" s="71" t="s">
        <v>8</v>
      </c>
      <c r="B11" s="71"/>
      <c r="C11" s="71"/>
      <c r="D11" s="71"/>
      <c r="E11" s="72" t="e">
        <f>B34+B47+F78+F58+B58+F51+B87+B101+F96+F44+B78</f>
        <v>#VALUE!</v>
      </c>
      <c r="F11" s="74">
        <f ca="1">C34+C47+G78+G58+C58+G51+C87+C101+G96+G44+C78</f>
        <v>0</v>
      </c>
      <c r="G11" s="73"/>
      <c r="H11" s="73"/>
      <c r="I11" s="12"/>
    </row>
    <row r="13" spans="1:9" x14ac:dyDescent="0.25">
      <c r="A13" s="60" t="s">
        <v>9</v>
      </c>
      <c r="B13" s="61" t="s">
        <v>10</v>
      </c>
      <c r="C13" s="61" t="s">
        <v>6</v>
      </c>
      <c r="D13" s="62" t="s">
        <v>7</v>
      </c>
      <c r="F13" s="14"/>
      <c r="G13" s="47"/>
      <c r="H13" s="47"/>
      <c r="I13" s="47"/>
    </row>
    <row r="14" spans="1:9" x14ac:dyDescent="0.25">
      <c r="A14" s="38" t="s">
        <v>11</v>
      </c>
      <c r="B14" s="40">
        <v>1</v>
      </c>
      <c r="C14" s="40">
        <f>SUM(B14:B14)</f>
        <v>1</v>
      </c>
      <c r="D14" s="40">
        <f>SUM(B14:C14)</f>
        <v>2</v>
      </c>
      <c r="F14" s="60" t="s">
        <v>12</v>
      </c>
      <c r="G14" s="61" t="s">
        <v>10</v>
      </c>
      <c r="H14" s="61" t="s">
        <v>6</v>
      </c>
      <c r="I14" s="62" t="s">
        <v>7</v>
      </c>
    </row>
    <row r="15" spans="1:9" x14ac:dyDescent="0.25">
      <c r="A15" s="38" t="s">
        <v>13</v>
      </c>
      <c r="B15" s="41"/>
      <c r="C15" s="40">
        <f t="shared" ref="C15:C38" si="0">SUM(B15:B15)</f>
        <v>0</v>
      </c>
      <c r="D15" s="40">
        <f t="shared" ref="D15:D38" si="1">SUM(B15:C15)</f>
        <v>0</v>
      </c>
      <c r="F15" s="38" t="s">
        <v>14</v>
      </c>
      <c r="G15" s="40"/>
      <c r="H15" s="40"/>
      <c r="I15" s="40"/>
    </row>
    <row r="16" spans="1:9" x14ac:dyDescent="0.25">
      <c r="A16" s="38" t="s">
        <v>15</v>
      </c>
      <c r="B16" s="41"/>
      <c r="C16" s="40">
        <f t="shared" si="0"/>
        <v>0</v>
      </c>
      <c r="D16" s="40">
        <f t="shared" si="1"/>
        <v>0</v>
      </c>
      <c r="F16" s="38" t="s">
        <v>16</v>
      </c>
      <c r="G16" s="41"/>
      <c r="H16" s="41"/>
      <c r="I16" s="41"/>
    </row>
    <row r="17" spans="1:9" x14ac:dyDescent="0.25">
      <c r="A17" s="38" t="s">
        <v>17</v>
      </c>
      <c r="B17" s="41"/>
      <c r="C17" s="40">
        <f t="shared" si="0"/>
        <v>0</v>
      </c>
      <c r="D17" s="40">
        <f t="shared" si="1"/>
        <v>0</v>
      </c>
      <c r="F17" s="38" t="s">
        <v>18</v>
      </c>
      <c r="G17" s="41"/>
      <c r="H17" s="41"/>
      <c r="I17" s="41"/>
    </row>
    <row r="18" spans="1:9" x14ac:dyDescent="0.25">
      <c r="A18" s="38" t="s">
        <v>19</v>
      </c>
      <c r="B18" s="41"/>
      <c r="C18" s="40">
        <f t="shared" si="0"/>
        <v>0</v>
      </c>
      <c r="D18" s="40">
        <f t="shared" si="1"/>
        <v>0</v>
      </c>
      <c r="F18" s="38" t="s">
        <v>20</v>
      </c>
      <c r="G18" s="41"/>
      <c r="H18" s="41"/>
      <c r="I18" s="41"/>
    </row>
    <row r="19" spans="1:9" x14ac:dyDescent="0.25">
      <c r="A19" s="38" t="s">
        <v>21</v>
      </c>
      <c r="B19" s="41"/>
      <c r="C19" s="40">
        <f t="shared" si="0"/>
        <v>0</v>
      </c>
      <c r="D19" s="40">
        <f t="shared" si="1"/>
        <v>0</v>
      </c>
      <c r="F19" s="38" t="s">
        <v>22</v>
      </c>
      <c r="G19" s="41"/>
      <c r="H19" s="41"/>
      <c r="I19" s="41"/>
    </row>
    <row r="20" spans="1:9" x14ac:dyDescent="0.25">
      <c r="A20" s="38" t="s">
        <v>23</v>
      </c>
      <c r="B20" s="41"/>
      <c r="C20" s="40">
        <f t="shared" si="0"/>
        <v>0</v>
      </c>
      <c r="D20" s="40">
        <f t="shared" si="1"/>
        <v>0</v>
      </c>
      <c r="F20" s="38" t="s">
        <v>24</v>
      </c>
      <c r="G20" s="41"/>
      <c r="H20" s="41"/>
      <c r="I20" s="41"/>
    </row>
    <row r="21" spans="1:9" x14ac:dyDescent="0.25">
      <c r="A21" s="38" t="s">
        <v>25</v>
      </c>
      <c r="B21" s="41"/>
      <c r="C21" s="40">
        <f t="shared" si="0"/>
        <v>0</v>
      </c>
      <c r="D21" s="40">
        <f t="shared" si="1"/>
        <v>0</v>
      </c>
      <c r="F21" s="38" t="s">
        <v>26</v>
      </c>
      <c r="G21" s="41"/>
      <c r="H21" s="41"/>
      <c r="I21" s="41"/>
    </row>
    <row r="22" spans="1:9" x14ac:dyDescent="0.25">
      <c r="A22" s="38" t="s">
        <v>27</v>
      </c>
      <c r="B22" s="41"/>
      <c r="C22" s="40">
        <f t="shared" si="0"/>
        <v>0</v>
      </c>
      <c r="D22" s="40">
        <f t="shared" si="1"/>
        <v>0</v>
      </c>
      <c r="F22" s="38" t="s">
        <v>28</v>
      </c>
      <c r="G22" s="41"/>
      <c r="H22" s="41"/>
      <c r="I22" s="41"/>
    </row>
    <row r="23" spans="1:9" x14ac:dyDescent="0.25">
      <c r="A23" s="38" t="s">
        <v>29</v>
      </c>
      <c r="B23" s="41"/>
      <c r="C23" s="40">
        <f t="shared" si="0"/>
        <v>0</v>
      </c>
      <c r="D23" s="40">
        <f t="shared" si="1"/>
        <v>0</v>
      </c>
      <c r="F23" s="38" t="s">
        <v>30</v>
      </c>
      <c r="G23" s="41"/>
      <c r="H23" s="41"/>
      <c r="I23" s="41"/>
    </row>
    <row r="24" spans="1:9" x14ac:dyDescent="0.25">
      <c r="A24" s="38" t="s">
        <v>31</v>
      </c>
      <c r="B24" s="41"/>
      <c r="C24" s="40">
        <f t="shared" si="0"/>
        <v>0</v>
      </c>
      <c r="D24" s="40">
        <f t="shared" si="1"/>
        <v>0</v>
      </c>
      <c r="F24" s="38" t="s">
        <v>32</v>
      </c>
      <c r="G24" s="41"/>
      <c r="H24" s="41"/>
      <c r="I24" s="41"/>
    </row>
    <row r="25" spans="1:9" x14ac:dyDescent="0.25">
      <c r="A25" s="38" t="s">
        <v>33</v>
      </c>
      <c r="B25" s="41"/>
      <c r="C25" s="40">
        <f t="shared" si="0"/>
        <v>0</v>
      </c>
      <c r="D25" s="40">
        <f t="shared" si="1"/>
        <v>0</v>
      </c>
      <c r="F25" s="38" t="s">
        <v>34</v>
      </c>
      <c r="G25" s="41"/>
      <c r="H25" s="41"/>
      <c r="I25" s="41"/>
    </row>
    <row r="26" spans="1:9" x14ac:dyDescent="0.25">
      <c r="A26" s="38" t="s">
        <v>35</v>
      </c>
      <c r="B26" s="41"/>
      <c r="C26" s="40">
        <f t="shared" si="0"/>
        <v>0</v>
      </c>
      <c r="D26" s="40">
        <f t="shared" si="1"/>
        <v>0</v>
      </c>
      <c r="F26" s="38" t="s">
        <v>36</v>
      </c>
      <c r="G26" s="41"/>
      <c r="H26" s="41"/>
      <c r="I26" s="41"/>
    </row>
    <row r="27" spans="1:9" x14ac:dyDescent="0.25">
      <c r="A27" s="38" t="s">
        <v>37</v>
      </c>
      <c r="B27" s="41"/>
      <c r="C27" s="40">
        <f t="shared" si="0"/>
        <v>0</v>
      </c>
      <c r="D27" s="40">
        <f t="shared" si="1"/>
        <v>0</v>
      </c>
      <c r="F27" s="67" t="str">
        <f>"Total "&amp;F14</f>
        <v>Total Ceremony</v>
      </c>
      <c r="G27" s="68">
        <f>SUM(G15:G26)</f>
        <v>0</v>
      </c>
      <c r="H27" s="68"/>
      <c r="I27" s="68">
        <f>SUM(I15:I26)</f>
        <v>0</v>
      </c>
    </row>
    <row r="28" spans="1:9" x14ac:dyDescent="0.25">
      <c r="A28" s="38" t="s">
        <v>38</v>
      </c>
      <c r="B28" s="41"/>
      <c r="C28" s="40">
        <f t="shared" si="0"/>
        <v>0</v>
      </c>
      <c r="D28" s="40">
        <f t="shared" si="1"/>
        <v>0</v>
      </c>
      <c r="F28" s="58"/>
      <c r="G28" s="59"/>
      <c r="H28" s="59"/>
      <c r="I28" s="59"/>
    </row>
    <row r="29" spans="1:9" x14ac:dyDescent="0.25">
      <c r="A29" s="38" t="s">
        <v>39</v>
      </c>
      <c r="B29" s="41"/>
      <c r="C29" s="40">
        <f t="shared" si="0"/>
        <v>0</v>
      </c>
      <c r="D29" s="40">
        <f t="shared" si="1"/>
        <v>0</v>
      </c>
      <c r="F29" s="58"/>
      <c r="G29" s="59"/>
      <c r="H29" s="59"/>
      <c r="I29" s="59"/>
    </row>
    <row r="30" spans="1:9" x14ac:dyDescent="0.25">
      <c r="A30" s="38" t="s">
        <v>40</v>
      </c>
      <c r="B30" s="41"/>
      <c r="C30" s="40">
        <f t="shared" si="0"/>
        <v>0</v>
      </c>
      <c r="D30" s="40">
        <f t="shared" si="1"/>
        <v>0</v>
      </c>
      <c r="F30" s="70"/>
      <c r="G30" s="70"/>
      <c r="H30" s="70"/>
      <c r="I30" s="70"/>
    </row>
    <row r="31" spans="1:9" x14ac:dyDescent="0.25">
      <c r="A31" s="38" t="s">
        <v>36</v>
      </c>
      <c r="B31" s="41"/>
      <c r="C31" s="40">
        <f t="shared" si="0"/>
        <v>0</v>
      </c>
      <c r="D31" s="40">
        <f t="shared" si="1"/>
        <v>0</v>
      </c>
    </row>
    <row r="32" spans="1:9" x14ac:dyDescent="0.25">
      <c r="A32" s="38" t="s">
        <v>41</v>
      </c>
      <c r="B32" s="41"/>
      <c r="C32" s="40">
        <f t="shared" si="0"/>
        <v>0</v>
      </c>
      <c r="D32" s="40">
        <f t="shared" si="1"/>
        <v>0</v>
      </c>
    </row>
    <row r="33" spans="1:9" x14ac:dyDescent="0.25">
      <c r="A33" s="38" t="s">
        <v>42</v>
      </c>
      <c r="B33" s="41"/>
      <c r="C33" s="40">
        <f t="shared" si="0"/>
        <v>0</v>
      </c>
      <c r="D33" s="40">
        <f t="shared" si="1"/>
        <v>0</v>
      </c>
    </row>
    <row r="34" spans="1:9" x14ac:dyDescent="0.25">
      <c r="A34" s="38" t="s">
        <v>43</v>
      </c>
      <c r="B34" s="41"/>
      <c r="C34" s="40">
        <f t="shared" si="0"/>
        <v>0</v>
      </c>
      <c r="D34" s="40">
        <f t="shared" si="1"/>
        <v>0</v>
      </c>
    </row>
    <row r="35" spans="1:9" x14ac:dyDescent="0.25">
      <c r="A35" s="38" t="s">
        <v>44</v>
      </c>
      <c r="B35" s="41"/>
      <c r="C35" s="40">
        <f t="shared" si="0"/>
        <v>0</v>
      </c>
      <c r="D35" s="40">
        <f t="shared" si="1"/>
        <v>0</v>
      </c>
    </row>
    <row r="36" spans="1:9" x14ac:dyDescent="0.25">
      <c r="A36" s="38" t="s">
        <v>45</v>
      </c>
      <c r="B36" s="41"/>
      <c r="C36" s="40">
        <f t="shared" si="0"/>
        <v>0</v>
      </c>
      <c r="D36" s="40">
        <f t="shared" si="1"/>
        <v>0</v>
      </c>
    </row>
    <row r="37" spans="1:9" x14ac:dyDescent="0.25">
      <c r="A37" s="38" t="s">
        <v>46</v>
      </c>
      <c r="B37" s="41"/>
      <c r="C37" s="40">
        <f t="shared" si="0"/>
        <v>0</v>
      </c>
      <c r="D37" s="40">
        <f t="shared" si="1"/>
        <v>0</v>
      </c>
      <c r="F37" s="13"/>
      <c r="G37" s="47"/>
      <c r="H37" s="47"/>
      <c r="I37" s="47"/>
    </row>
    <row r="38" spans="1:9" x14ac:dyDescent="0.25">
      <c r="A38" s="38" t="s">
        <v>47</v>
      </c>
      <c r="B38" s="41"/>
      <c r="C38" s="40">
        <f t="shared" si="0"/>
        <v>0</v>
      </c>
      <c r="D38" s="40">
        <f t="shared" si="1"/>
        <v>0</v>
      </c>
      <c r="F38" s="60" t="s">
        <v>48</v>
      </c>
      <c r="G38" s="61" t="s">
        <v>10</v>
      </c>
      <c r="H38" s="61" t="s">
        <v>6</v>
      </c>
      <c r="I38" s="62" t="s">
        <v>7</v>
      </c>
    </row>
    <row r="39" spans="1:9" x14ac:dyDescent="0.25">
      <c r="A39" s="67" t="str">
        <f>"Total "&amp;A13</f>
        <v>Total Reception</v>
      </c>
      <c r="B39" s="68">
        <f>SUM(B25:B38)</f>
        <v>0</v>
      </c>
      <c r="C39" s="68">
        <f>SUM(B14:B38)</f>
        <v>1</v>
      </c>
      <c r="D39" s="68">
        <f>SUM(D25:D38)</f>
        <v>0</v>
      </c>
      <c r="F39" s="38" t="s">
        <v>49</v>
      </c>
      <c r="G39" s="40"/>
      <c r="H39" s="40"/>
      <c r="I39" s="40"/>
    </row>
    <row r="40" spans="1:9" x14ac:dyDescent="0.25">
      <c r="A40" s="69"/>
      <c r="B40" s="61"/>
      <c r="C40" s="61"/>
      <c r="D40" s="61"/>
      <c r="F40" s="38" t="s">
        <v>50</v>
      </c>
      <c r="G40" s="41"/>
      <c r="H40" s="41"/>
      <c r="I40" s="41"/>
    </row>
    <row r="41" spans="1:9" x14ac:dyDescent="0.25">
      <c r="F41" s="38" t="s">
        <v>51</v>
      </c>
      <c r="G41" s="41"/>
      <c r="H41" s="41"/>
      <c r="I41" s="41"/>
    </row>
    <row r="42" spans="1:9" x14ac:dyDescent="0.25">
      <c r="A42" s="15" t="s">
        <v>52</v>
      </c>
      <c r="B42" s="47"/>
      <c r="C42" s="47"/>
      <c r="D42" s="47"/>
      <c r="F42" s="38" t="s">
        <v>53</v>
      </c>
      <c r="G42" s="41"/>
      <c r="H42" s="41"/>
      <c r="I42" s="41"/>
    </row>
    <row r="43" spans="1:9" x14ac:dyDescent="0.25">
      <c r="A43" s="60" t="s">
        <v>54</v>
      </c>
      <c r="B43" s="61" t="s">
        <v>10</v>
      </c>
      <c r="C43" s="61" t="s">
        <v>6</v>
      </c>
      <c r="D43" s="62" t="s">
        <v>7</v>
      </c>
      <c r="F43" s="38" t="s">
        <v>55</v>
      </c>
      <c r="G43" s="41"/>
      <c r="H43" s="41"/>
      <c r="I43" s="41"/>
    </row>
    <row r="44" spans="1:9" x14ac:dyDescent="0.25">
      <c r="A44" s="38" t="s">
        <v>56</v>
      </c>
      <c r="B44" s="40"/>
      <c r="C44" s="40">
        <f ca="1">SUM(B44,C44)</f>
        <v>0</v>
      </c>
      <c r="D44" s="40">
        <f ca="1">SUM(C44:D44)</f>
        <v>0</v>
      </c>
      <c r="F44" s="38" t="s">
        <v>57</v>
      </c>
      <c r="G44" s="41"/>
      <c r="H44" s="41"/>
      <c r="I44" s="41"/>
    </row>
    <row r="45" spans="1:9" x14ac:dyDescent="0.25">
      <c r="A45" s="38" t="s">
        <v>9</v>
      </c>
      <c r="B45" s="41"/>
      <c r="C45" s="40">
        <f t="shared" ref="C45:C48" ca="1" si="2">SUM(B45,C45)</f>
        <v>0</v>
      </c>
      <c r="D45" s="40">
        <f t="shared" ref="D45:D48" ca="1" si="3">SUM(C45:D45)</f>
        <v>0</v>
      </c>
      <c r="F45" s="38" t="s">
        <v>58</v>
      </c>
      <c r="G45" s="41"/>
      <c r="H45" s="41"/>
      <c r="I45" s="41"/>
    </row>
    <row r="46" spans="1:9" x14ac:dyDescent="0.25">
      <c r="A46" s="38" t="s">
        <v>12</v>
      </c>
      <c r="B46" s="41"/>
      <c r="C46" s="40">
        <f t="shared" ca="1" si="2"/>
        <v>0</v>
      </c>
      <c r="D46" s="40">
        <f t="shared" ca="1" si="3"/>
        <v>0</v>
      </c>
      <c r="F46" s="39" t="s">
        <v>59</v>
      </c>
      <c r="G46" s="41"/>
      <c r="H46" s="41"/>
      <c r="I46" s="41"/>
    </row>
    <row r="47" spans="1:9" x14ac:dyDescent="0.25">
      <c r="A47" s="38" t="s">
        <v>60</v>
      </c>
      <c r="B47" s="41"/>
      <c r="C47" s="40">
        <f t="shared" ca="1" si="2"/>
        <v>0</v>
      </c>
      <c r="D47" s="40">
        <f t="shared" ca="1" si="3"/>
        <v>0</v>
      </c>
      <c r="F47" s="67" t="str">
        <f>"Total "&amp;F38</f>
        <v>Total Stationery</v>
      </c>
      <c r="G47" s="68">
        <f>SUM(G39:G46)</f>
        <v>0</v>
      </c>
      <c r="H47" s="68"/>
      <c r="I47" s="68">
        <f>SUM(I39:I46)</f>
        <v>0</v>
      </c>
    </row>
    <row r="48" spans="1:9" x14ac:dyDescent="0.25">
      <c r="A48" s="38" t="s">
        <v>61</v>
      </c>
      <c r="B48" s="42"/>
      <c r="C48" s="40">
        <f t="shared" ca="1" si="2"/>
        <v>0</v>
      </c>
      <c r="D48" s="40">
        <f t="shared" ca="1" si="3"/>
        <v>0</v>
      </c>
      <c r="F48" s="58"/>
      <c r="G48" s="59"/>
      <c r="H48" s="59"/>
      <c r="I48" s="59"/>
    </row>
    <row r="49" spans="1:9" x14ac:dyDescent="0.25">
      <c r="A49" s="67" t="str">
        <f>"Total "&amp;A43</f>
        <v>Total Photography / Video</v>
      </c>
      <c r="B49" s="68">
        <f>SUM(B44:B48)</f>
        <v>0</v>
      </c>
      <c r="C49" s="68">
        <f ca="1">SUM(C44:C48)</f>
        <v>0</v>
      </c>
      <c r="D49" s="68">
        <f ca="1">SUM(D44:D48)</f>
        <v>0</v>
      </c>
    </row>
    <row r="50" spans="1:9" x14ac:dyDescent="0.25">
      <c r="F50" s="13"/>
      <c r="G50" s="47"/>
      <c r="H50" s="47"/>
      <c r="I50" s="47"/>
    </row>
    <row r="51" spans="1:9" x14ac:dyDescent="0.25">
      <c r="F51" s="13"/>
      <c r="G51" s="47"/>
      <c r="H51" s="47"/>
      <c r="I51" s="47"/>
    </row>
    <row r="52" spans="1:9" x14ac:dyDescent="0.25">
      <c r="A52" s="13"/>
      <c r="B52" s="47"/>
      <c r="C52" s="47"/>
      <c r="D52" s="47"/>
      <c r="F52" s="60" t="s">
        <v>62</v>
      </c>
      <c r="G52" s="61" t="s">
        <v>10</v>
      </c>
      <c r="H52" s="61" t="s">
        <v>6</v>
      </c>
      <c r="I52" s="62" t="s">
        <v>7</v>
      </c>
    </row>
    <row r="53" spans="1:9" x14ac:dyDescent="0.25">
      <c r="A53" s="60" t="s">
        <v>63</v>
      </c>
      <c r="B53" s="61" t="s">
        <v>10</v>
      </c>
      <c r="C53" s="61" t="s">
        <v>6</v>
      </c>
      <c r="D53" s="62" t="s">
        <v>7</v>
      </c>
      <c r="F53" s="63" t="s">
        <v>64</v>
      </c>
      <c r="G53" s="40"/>
      <c r="H53" s="40"/>
      <c r="I53" s="40"/>
    </row>
    <row r="54" spans="1:9" x14ac:dyDescent="0.25">
      <c r="A54" s="39" t="s">
        <v>65</v>
      </c>
      <c r="B54" s="40"/>
      <c r="C54" s="40"/>
      <c r="D54" s="40"/>
      <c r="F54" s="63" t="s">
        <v>66</v>
      </c>
      <c r="G54" s="40"/>
      <c r="H54" s="40"/>
      <c r="I54" s="40"/>
    </row>
    <row r="55" spans="1:9" x14ac:dyDescent="0.25">
      <c r="A55" s="39" t="s">
        <v>67</v>
      </c>
      <c r="B55" s="40"/>
      <c r="C55" s="40"/>
      <c r="D55" s="40"/>
      <c r="F55" s="63" t="s">
        <v>68</v>
      </c>
      <c r="G55" s="40"/>
      <c r="H55" s="40"/>
      <c r="I55" s="40"/>
    </row>
    <row r="56" spans="1:9" x14ac:dyDescent="0.25">
      <c r="A56" s="38" t="s">
        <v>69</v>
      </c>
      <c r="B56" s="41"/>
      <c r="C56" s="41"/>
      <c r="D56" s="41"/>
      <c r="F56" s="63" t="s">
        <v>70</v>
      </c>
      <c r="G56" s="40"/>
      <c r="H56" s="40"/>
      <c r="I56" s="40"/>
    </row>
    <row r="57" spans="1:9" x14ac:dyDescent="0.25">
      <c r="A57" s="38" t="s">
        <v>71</v>
      </c>
      <c r="B57" s="41"/>
      <c r="C57" s="41"/>
      <c r="D57" s="41"/>
      <c r="F57" s="63" t="s">
        <v>33</v>
      </c>
      <c r="G57" s="40"/>
      <c r="H57" s="40"/>
      <c r="I57" s="40"/>
    </row>
    <row r="58" spans="1:9" x14ac:dyDescent="0.25">
      <c r="A58" s="38" t="s">
        <v>72</v>
      </c>
      <c r="B58" s="41"/>
      <c r="C58" s="41"/>
      <c r="D58" s="41"/>
      <c r="F58" s="63" t="s">
        <v>43</v>
      </c>
      <c r="G58" s="40"/>
      <c r="H58" s="40"/>
      <c r="I58" s="40"/>
    </row>
    <row r="59" spans="1:9" x14ac:dyDescent="0.25">
      <c r="A59" s="38" t="s">
        <v>73</v>
      </c>
      <c r="B59" s="41"/>
      <c r="C59" s="41"/>
      <c r="D59" s="41"/>
      <c r="F59" s="63" t="s">
        <v>25</v>
      </c>
      <c r="G59" s="40"/>
      <c r="H59" s="40"/>
      <c r="I59" s="40"/>
    </row>
    <row r="60" spans="1:9" x14ac:dyDescent="0.25">
      <c r="A60" s="67" t="str">
        <f>"Total "&amp;A53</f>
        <v>Total Event Perfekt Fees</v>
      </c>
      <c r="B60" s="68">
        <f>SUM(B54:B59)</f>
        <v>0</v>
      </c>
      <c r="C60" s="68"/>
      <c r="D60" s="68">
        <f>SUM(D54:D59)</f>
        <v>0</v>
      </c>
      <c r="F60" s="63" t="s">
        <v>27</v>
      </c>
      <c r="G60" s="40"/>
      <c r="H60" s="40"/>
      <c r="I60" s="40"/>
    </row>
    <row r="61" spans="1:9" x14ac:dyDescent="0.25">
      <c r="F61" s="64" t="s">
        <v>39</v>
      </c>
      <c r="G61" s="41"/>
      <c r="H61" s="41"/>
      <c r="I61" s="41"/>
    </row>
    <row r="62" spans="1:9" x14ac:dyDescent="0.25">
      <c r="F62" s="64" t="s">
        <v>74</v>
      </c>
      <c r="G62" s="41"/>
      <c r="H62" s="41"/>
      <c r="I62" s="41"/>
    </row>
    <row r="63" spans="1:9" x14ac:dyDescent="0.25">
      <c r="A63" s="51"/>
      <c r="B63" s="52"/>
      <c r="C63" s="52"/>
      <c r="D63" s="52"/>
      <c r="F63" s="64" t="s">
        <v>75</v>
      </c>
      <c r="G63" s="41"/>
      <c r="H63" s="41"/>
      <c r="I63" s="41"/>
    </row>
    <row r="64" spans="1:9" x14ac:dyDescent="0.25">
      <c r="A64" s="53"/>
      <c r="B64" s="54"/>
      <c r="C64" s="54"/>
      <c r="D64" s="55"/>
      <c r="F64" s="67" t="str">
        <f>"Total "&amp;F52</f>
        <v>Total After Party -After 10pm</v>
      </c>
      <c r="G64" s="68">
        <f>SUM(G53:G63)</f>
        <v>0</v>
      </c>
      <c r="H64" s="68"/>
      <c r="I64" s="65">
        <f>SUM(I53:I63)</f>
        <v>0</v>
      </c>
    </row>
    <row r="65" spans="1:4" x14ac:dyDescent="0.25">
      <c r="A65" s="56"/>
      <c r="B65" s="50"/>
      <c r="C65" s="50"/>
      <c r="D65" s="50"/>
    </row>
    <row r="66" spans="1:4" x14ac:dyDescent="0.25">
      <c r="A66" s="56"/>
      <c r="B66" s="50"/>
      <c r="C66" s="50"/>
      <c r="D66" s="50"/>
    </row>
    <row r="67" spans="1:4" x14ac:dyDescent="0.25">
      <c r="A67" s="56"/>
      <c r="B67" s="50"/>
      <c r="C67" s="50"/>
      <c r="D67" s="50"/>
    </row>
    <row r="68" spans="1:4" x14ac:dyDescent="0.25">
      <c r="A68" s="56"/>
      <c r="B68" s="50"/>
      <c r="C68" s="50"/>
      <c r="D68" s="50"/>
    </row>
    <row r="69" spans="1:4" x14ac:dyDescent="0.25">
      <c r="A69" s="66"/>
      <c r="B69" s="50"/>
      <c r="C69" s="50"/>
      <c r="D69" s="50"/>
    </row>
    <row r="70" spans="1:4" x14ac:dyDescent="0.25">
      <c r="A70" s="56"/>
      <c r="B70" s="50"/>
      <c r="C70" s="50"/>
      <c r="D70" s="50"/>
    </row>
    <row r="71" spans="1:4" x14ac:dyDescent="0.25">
      <c r="A71" s="56"/>
      <c r="B71" s="50"/>
      <c r="C71" s="50"/>
      <c r="D71" s="50"/>
    </row>
    <row r="72" spans="1:4" x14ac:dyDescent="0.25">
      <c r="A72" s="56"/>
      <c r="B72" s="50"/>
      <c r="C72" s="50"/>
      <c r="D72" s="50"/>
    </row>
    <row r="73" spans="1:4" x14ac:dyDescent="0.25">
      <c r="A73" s="57"/>
      <c r="B73" s="50"/>
      <c r="C73" s="50"/>
      <c r="D73" s="50"/>
    </row>
    <row r="74" spans="1:4" x14ac:dyDescent="0.25">
      <c r="A74" s="57"/>
      <c r="B74" s="50"/>
      <c r="C74" s="50"/>
      <c r="D74" s="50"/>
    </row>
    <row r="75" spans="1:4" x14ac:dyDescent="0.25">
      <c r="A75" s="57"/>
      <c r="B75" s="50"/>
      <c r="C75" s="50"/>
      <c r="D75" s="50"/>
    </row>
    <row r="76" spans="1:4" x14ac:dyDescent="0.25">
      <c r="A76" s="58"/>
      <c r="B76" s="59"/>
      <c r="C76" s="59"/>
      <c r="D76" s="59"/>
    </row>
  </sheetData>
  <mergeCells count="1">
    <mergeCell ref="F3:H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70"/>
  <sheetViews>
    <sheetView showGridLines="0" topLeftCell="A21" workbookViewId="0">
      <selection activeCell="M30" sqref="M30"/>
    </sheetView>
  </sheetViews>
  <sheetFormatPr defaultRowHeight="12.5" x14ac:dyDescent="0.25"/>
  <cols>
    <col min="1" max="1" width="6.453125" customWidth="1"/>
    <col min="2" max="2" width="30.7265625" customWidth="1"/>
    <col min="3" max="3" width="16.453125" customWidth="1"/>
    <col min="4" max="4" width="8.81640625" customWidth="1"/>
    <col min="5" max="5" width="9.7265625" bestFit="1" customWidth="1"/>
    <col min="7" max="7" width="18.453125" customWidth="1"/>
  </cols>
  <sheetData>
    <row r="1" spans="1:7" ht="47.25" customHeight="1" x14ac:dyDescent="0.25">
      <c r="A1" s="16" t="s">
        <v>76</v>
      </c>
      <c r="B1" s="16"/>
      <c r="C1" s="16"/>
      <c r="D1" s="16"/>
      <c r="E1" s="16"/>
      <c r="F1" s="16"/>
      <c r="G1" s="17"/>
    </row>
    <row r="2" spans="1:7" ht="13.5" customHeight="1" x14ac:dyDescent="0.3">
      <c r="A2" s="18"/>
      <c r="B2" s="18"/>
      <c r="C2" s="18"/>
      <c r="D2" s="18"/>
      <c r="E2" s="18"/>
      <c r="F2" s="19" t="s">
        <v>77</v>
      </c>
      <c r="G2" s="18"/>
    </row>
    <row r="3" spans="1:7" x14ac:dyDescent="0.25">
      <c r="A3" s="4"/>
      <c r="B3" s="13"/>
      <c r="C3" s="13"/>
      <c r="D3" s="13"/>
      <c r="E3" s="4"/>
      <c r="F3" s="4"/>
      <c r="G3" s="4"/>
    </row>
    <row r="4" spans="1:7" s="3" customFormat="1" ht="22.5" customHeight="1" x14ac:dyDescent="0.25">
      <c r="A4" s="11"/>
      <c r="B4" s="20" t="s">
        <v>78</v>
      </c>
      <c r="C4" s="21">
        <v>5000</v>
      </c>
      <c r="D4" s="27"/>
      <c r="E4" s="11"/>
      <c r="F4" s="11"/>
      <c r="G4" s="11"/>
    </row>
    <row r="5" spans="1:7" x14ac:dyDescent="0.25">
      <c r="A5" s="4"/>
      <c r="B5" s="28"/>
      <c r="C5" s="13"/>
      <c r="D5" s="13"/>
      <c r="E5" s="4"/>
      <c r="F5" s="4"/>
      <c r="G5" s="4"/>
    </row>
    <row r="6" spans="1:7" s="1" customFormat="1" ht="16" x14ac:dyDescent="0.35">
      <c r="A6" s="26"/>
      <c r="B6" s="29"/>
      <c r="C6" s="31" t="s">
        <v>79</v>
      </c>
      <c r="D6" s="31" t="s">
        <v>80</v>
      </c>
      <c r="E6" s="6"/>
      <c r="F6" s="31" t="s">
        <v>81</v>
      </c>
      <c r="G6" s="26"/>
    </row>
    <row r="7" spans="1:7" s="3" customFormat="1" ht="22.5" customHeight="1" x14ac:dyDescent="0.25">
      <c r="A7" s="11"/>
      <c r="B7" s="43" t="s">
        <v>9</v>
      </c>
      <c r="C7" s="45">
        <f>D7*$C$4</f>
        <v>2750</v>
      </c>
      <c r="D7" s="46">
        <v>0.55000000000000004</v>
      </c>
      <c r="E7" s="30"/>
      <c r="F7" s="44">
        <v>0.55000000000000004</v>
      </c>
      <c r="G7" s="11"/>
    </row>
    <row r="8" spans="1:7" s="3" customFormat="1" ht="22.5" customHeight="1" x14ac:dyDescent="0.25">
      <c r="A8" s="11"/>
      <c r="B8" s="43" t="s">
        <v>12</v>
      </c>
      <c r="C8" s="45">
        <f t="shared" ref="C8:C15" si="0">D8*$C$4</f>
        <v>500</v>
      </c>
      <c r="D8" s="46">
        <v>0.1</v>
      </c>
      <c r="E8" s="30"/>
      <c r="F8" s="44">
        <v>0.1</v>
      </c>
      <c r="G8" s="11"/>
    </row>
    <row r="9" spans="1:7" s="3" customFormat="1" ht="22.5" customHeight="1" x14ac:dyDescent="0.25">
      <c r="A9" s="11"/>
      <c r="B9" s="43" t="s">
        <v>82</v>
      </c>
      <c r="C9" s="45">
        <f t="shared" si="0"/>
        <v>400</v>
      </c>
      <c r="D9" s="46">
        <v>0.08</v>
      </c>
      <c r="E9" s="30"/>
      <c r="F9" s="44">
        <v>0.08</v>
      </c>
      <c r="G9" s="11"/>
    </row>
    <row r="10" spans="1:7" s="3" customFormat="1" ht="22.5" customHeight="1" x14ac:dyDescent="0.25">
      <c r="A10" s="11"/>
      <c r="B10" s="43" t="s">
        <v>83</v>
      </c>
      <c r="C10" s="45">
        <f t="shared" si="0"/>
        <v>500</v>
      </c>
      <c r="D10" s="46">
        <v>0.1</v>
      </c>
      <c r="E10" s="30"/>
      <c r="F10" s="44">
        <v>0.1</v>
      </c>
      <c r="G10" s="11"/>
    </row>
    <row r="11" spans="1:7" s="3" customFormat="1" ht="22.5" customHeight="1" thickBot="1" x14ac:dyDescent="0.3">
      <c r="A11" s="11"/>
      <c r="B11" s="43" t="s">
        <v>84</v>
      </c>
      <c r="C11" s="45">
        <f>D11*$C$4</f>
        <v>150</v>
      </c>
      <c r="D11" s="46">
        <v>0.03</v>
      </c>
      <c r="E11" s="30"/>
      <c r="F11" s="44">
        <v>0.03</v>
      </c>
      <c r="G11" s="11"/>
    </row>
    <row r="12" spans="1:7" s="3" customFormat="1" ht="22.5" customHeight="1" x14ac:dyDescent="0.25">
      <c r="A12" s="11"/>
      <c r="B12" s="43" t="s">
        <v>85</v>
      </c>
      <c r="C12" s="45">
        <f t="shared" si="0"/>
        <v>150</v>
      </c>
      <c r="D12" s="46">
        <v>0.03</v>
      </c>
      <c r="E12" s="30"/>
      <c r="F12" s="44">
        <v>0.03</v>
      </c>
      <c r="G12" s="11"/>
    </row>
    <row r="13" spans="1:7" s="3" customFormat="1" ht="22.5" customHeight="1" x14ac:dyDescent="0.25">
      <c r="A13" s="11"/>
      <c r="B13" s="43" t="s">
        <v>86</v>
      </c>
      <c r="C13" s="45">
        <f t="shared" si="0"/>
        <v>150</v>
      </c>
      <c r="D13" s="46">
        <v>0.03</v>
      </c>
      <c r="E13" s="30"/>
      <c r="F13" s="44">
        <v>0.03</v>
      </c>
      <c r="G13" s="11"/>
    </row>
    <row r="14" spans="1:7" s="3" customFormat="1" ht="22.5" customHeight="1" x14ac:dyDescent="0.25">
      <c r="A14" s="11"/>
      <c r="B14" s="43" t="s">
        <v>87</v>
      </c>
      <c r="C14" s="45">
        <f>D14*$C$4</f>
        <v>150</v>
      </c>
      <c r="D14" s="46">
        <v>0.03</v>
      </c>
      <c r="E14" s="30"/>
      <c r="F14" s="44">
        <v>0.03</v>
      </c>
      <c r="G14" s="11"/>
    </row>
    <row r="15" spans="1:7" s="3" customFormat="1" ht="22.5" customHeight="1" thickBot="1" x14ac:dyDescent="0.3">
      <c r="A15" s="11"/>
      <c r="B15" s="43" t="s">
        <v>88</v>
      </c>
      <c r="C15" s="45">
        <f t="shared" si="0"/>
        <v>250</v>
      </c>
      <c r="D15" s="46">
        <v>0.05</v>
      </c>
      <c r="E15" s="30"/>
      <c r="F15" s="44">
        <v>0.05</v>
      </c>
      <c r="G15" s="11"/>
    </row>
    <row r="16" spans="1:7" s="3" customFormat="1" ht="22.5" customHeight="1" thickTop="1" x14ac:dyDescent="0.25">
      <c r="A16" s="11"/>
      <c r="B16" s="35" t="s">
        <v>89</v>
      </c>
      <c r="C16" s="36">
        <f>D16*$C$4</f>
        <v>5000</v>
      </c>
      <c r="D16" s="37">
        <f>SUM(D7:D15)</f>
        <v>1</v>
      </c>
      <c r="E16" s="30"/>
      <c r="F16" s="37">
        <f>SUM(F7:F15)</f>
        <v>1</v>
      </c>
      <c r="G16" s="11"/>
    </row>
    <row r="17" spans="1:7" x14ac:dyDescent="0.25">
      <c r="A17" s="4"/>
      <c r="B17" s="4"/>
      <c r="C17" s="4"/>
      <c r="D17" s="13"/>
      <c r="E17" s="4"/>
      <c r="F17" s="4"/>
      <c r="G17" s="4"/>
    </row>
    <row r="18" spans="1:7" x14ac:dyDescent="0.25">
      <c r="A18" s="22"/>
      <c r="B18" s="32" t="s">
        <v>90</v>
      </c>
      <c r="C18" s="23"/>
      <c r="D18" s="23"/>
      <c r="E18" s="23"/>
      <c r="F18" s="23"/>
      <c r="G18" s="23"/>
    </row>
    <row r="19" spans="1:7" x14ac:dyDescent="0.25">
      <c r="A19" s="22"/>
      <c r="B19" s="33" t="s">
        <v>91</v>
      </c>
      <c r="C19" s="24"/>
      <c r="D19" s="24"/>
      <c r="E19" s="24"/>
      <c r="F19" s="24"/>
      <c r="G19" s="24"/>
    </row>
    <row r="20" spans="1:7" x14ac:dyDescent="0.25">
      <c r="A20" s="22"/>
      <c r="B20" s="33" t="s">
        <v>92</v>
      </c>
      <c r="C20" s="24"/>
      <c r="D20" s="24"/>
      <c r="E20" s="24"/>
      <c r="F20" s="24"/>
      <c r="G20" s="24"/>
    </row>
    <row r="21" spans="1:7" x14ac:dyDescent="0.25">
      <c r="A21" s="22"/>
      <c r="B21" s="33" t="s">
        <v>93</v>
      </c>
      <c r="C21" s="33"/>
      <c r="D21" s="24"/>
      <c r="E21" s="24"/>
      <c r="F21" s="24"/>
      <c r="G21" s="24"/>
    </row>
    <row r="22" spans="1:7" x14ac:dyDescent="0.25">
      <c r="A22" s="22"/>
      <c r="B22" s="33" t="s">
        <v>94</v>
      </c>
      <c r="C22" s="24"/>
      <c r="D22" s="24"/>
      <c r="E22" s="24"/>
      <c r="F22" s="24"/>
      <c r="G22" s="24"/>
    </row>
    <row r="23" spans="1:7" x14ac:dyDescent="0.25">
      <c r="A23" s="22"/>
      <c r="B23" s="15" t="s">
        <v>52</v>
      </c>
      <c r="C23" s="4"/>
      <c r="D23" s="4"/>
      <c r="E23" s="13"/>
      <c r="F23" s="4"/>
      <c r="G23" s="4"/>
    </row>
    <row r="24" spans="1:7" x14ac:dyDescent="0.25">
      <c r="A24" s="22"/>
      <c r="B24" s="34" t="s">
        <v>95</v>
      </c>
      <c r="C24" s="25"/>
      <c r="D24" s="25"/>
      <c r="E24" s="25"/>
      <c r="F24" s="25"/>
      <c r="G24" s="25"/>
    </row>
    <row r="25" spans="1:7" x14ac:dyDescent="0.25">
      <c r="A25" s="22"/>
      <c r="B25" s="15" t="s">
        <v>52</v>
      </c>
      <c r="C25" s="4"/>
      <c r="D25" s="4"/>
      <c r="E25" s="13"/>
      <c r="F25" s="4"/>
      <c r="G25" s="4"/>
    </row>
    <row r="26" spans="1:7" ht="22.5" customHeight="1" x14ac:dyDescent="0.25">
      <c r="A26" s="4"/>
      <c r="B26" s="78"/>
      <c r="C26" s="78"/>
      <c r="D26" s="78"/>
      <c r="E26" s="78"/>
      <c r="F26" s="78"/>
      <c r="G26" s="4"/>
    </row>
    <row r="27" spans="1:7" x14ac:dyDescent="0.25">
      <c r="D27" s="2"/>
    </row>
    <row r="28" spans="1:7" x14ac:dyDescent="0.25">
      <c r="D28" s="2"/>
    </row>
    <row r="29" spans="1:7" x14ac:dyDescent="0.25">
      <c r="D29" s="2"/>
    </row>
    <row r="30" spans="1:7" x14ac:dyDescent="0.25">
      <c r="D30" s="2"/>
    </row>
    <row r="31" spans="1:7" x14ac:dyDescent="0.25">
      <c r="D31" s="2"/>
    </row>
    <row r="32" spans="1:7" x14ac:dyDescent="0.25">
      <c r="D32" s="2"/>
    </row>
    <row r="33" spans="4:4" x14ac:dyDescent="0.25">
      <c r="D33" s="2"/>
    </row>
    <row r="34" spans="4:4" x14ac:dyDescent="0.25">
      <c r="D34" s="2"/>
    </row>
    <row r="35" spans="4:4" x14ac:dyDescent="0.25">
      <c r="D35" s="2"/>
    </row>
    <row r="36" spans="4:4" x14ac:dyDescent="0.25">
      <c r="D36" s="2"/>
    </row>
    <row r="37" spans="4:4" x14ac:dyDescent="0.25">
      <c r="D37" s="2"/>
    </row>
    <row r="38" spans="4:4" x14ac:dyDescent="0.25">
      <c r="D38" s="2"/>
    </row>
    <row r="39" spans="4:4" x14ac:dyDescent="0.25">
      <c r="D39" s="2"/>
    </row>
    <row r="40" spans="4:4" x14ac:dyDescent="0.25">
      <c r="D40" s="2"/>
    </row>
    <row r="41" spans="4:4" x14ac:dyDescent="0.25">
      <c r="D41" s="2"/>
    </row>
    <row r="42" spans="4:4" x14ac:dyDescent="0.25">
      <c r="D42" s="2"/>
    </row>
    <row r="43" spans="4:4" x14ac:dyDescent="0.25">
      <c r="D43" s="2"/>
    </row>
    <row r="44" spans="4:4" x14ac:dyDescent="0.25">
      <c r="D44" s="2"/>
    </row>
    <row r="45" spans="4:4" x14ac:dyDescent="0.25">
      <c r="D45" s="2"/>
    </row>
    <row r="46" spans="4:4" x14ac:dyDescent="0.25">
      <c r="D46" s="2"/>
    </row>
    <row r="47" spans="4:4" x14ac:dyDescent="0.25">
      <c r="D47" s="2"/>
    </row>
    <row r="48" spans="4:4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  <row r="54" spans="4:4" x14ac:dyDescent="0.25">
      <c r="D54" s="2"/>
    </row>
    <row r="55" spans="4:4" x14ac:dyDescent="0.25">
      <c r="D55" s="2"/>
    </row>
    <row r="56" spans="4:4" x14ac:dyDescent="0.25">
      <c r="D56" s="2"/>
    </row>
    <row r="57" spans="4:4" x14ac:dyDescent="0.25">
      <c r="D57" s="2"/>
    </row>
    <row r="58" spans="4:4" x14ac:dyDescent="0.25">
      <c r="D58" s="2"/>
    </row>
    <row r="59" spans="4:4" x14ac:dyDescent="0.25">
      <c r="D59" s="2"/>
    </row>
    <row r="60" spans="4:4" x14ac:dyDescent="0.25">
      <c r="D60" s="2"/>
    </row>
    <row r="61" spans="4:4" x14ac:dyDescent="0.25">
      <c r="D61" s="2"/>
    </row>
    <row r="62" spans="4:4" x14ac:dyDescent="0.25">
      <c r="D62" s="2"/>
    </row>
    <row r="63" spans="4:4" x14ac:dyDescent="0.25">
      <c r="D63" s="2"/>
    </row>
    <row r="64" spans="4:4" x14ac:dyDescent="0.25">
      <c r="D64" s="2"/>
    </row>
    <row r="65" spans="4:4" x14ac:dyDescent="0.25">
      <c r="D65" s="2"/>
    </row>
    <row r="66" spans="4:4" x14ac:dyDescent="0.25">
      <c r="D66" s="2"/>
    </row>
    <row r="67" spans="4:4" x14ac:dyDescent="0.25">
      <c r="D67" s="2"/>
    </row>
    <row r="68" spans="4:4" x14ac:dyDescent="0.25">
      <c r="D68" s="2"/>
    </row>
    <row r="69" spans="4:4" x14ac:dyDescent="0.25">
      <c r="D69" s="2"/>
    </row>
    <row r="70" spans="4:4" x14ac:dyDescent="0.25">
      <c r="D70" s="2"/>
    </row>
  </sheetData>
  <mergeCells count="1">
    <mergeCell ref="B26:F26"/>
  </mergeCells>
  <phoneticPr fontId="0" type="noConversion"/>
  <conditionalFormatting sqref="C16">
    <cfRule type="cellIs" dxfId="1" priority="1" stopIfTrue="1" operator="greaterThan">
      <formula>$C$4</formula>
    </cfRule>
  </conditionalFormatting>
  <conditionalFormatting sqref="D16">
    <cfRule type="cellIs" dxfId="0" priority="2" stopIfTrue="1" operator="greaterThan">
      <formula>1</formula>
    </cfRule>
  </conditionalFormatting>
  <printOptions horizontalCentered="1"/>
  <pageMargins left="1" right="1" top="1" bottom="0.5" header="0.5" footer="0.25"/>
  <pageSetup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Breakdown</vt:lpstr>
      <vt:lpstr>Estimator</vt:lpstr>
      <vt:lpstr>Estimator!Print_Area</vt:lpstr>
    </vt:vector>
  </TitlesOfParts>
  <Manager/>
  <Company>Vertex42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Wedding Budget Worksheet</dc:title>
  <dc:subject/>
  <dc:creator>Vertex42.com</dc:creator>
  <cp:keywords/>
  <dc:description>(c) 2007-2023 Vertex42 LLC. All Rights Reserved.</dc:description>
  <cp:lastModifiedBy>Tolu Johnson</cp:lastModifiedBy>
  <cp:revision/>
  <dcterms:created xsi:type="dcterms:W3CDTF">2007-10-28T01:07:07Z</dcterms:created>
  <dcterms:modified xsi:type="dcterms:W3CDTF">2025-07-26T18:18:00Z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2007-2023 Vertex42 LLC</vt:lpwstr>
  </property>
  <property fmtid="{D5CDD505-2E9C-101B-9397-08002B2CF9AE}" pid="3" name="Source">
    <vt:lpwstr>https://www.vertex42.com/ExcelTemplates/wedding-budget.html</vt:lpwstr>
  </property>
  <property fmtid="{D5CDD505-2E9C-101B-9397-08002B2CF9AE}" pid="4" name="Version">
    <vt:lpwstr>1.2.3</vt:lpwstr>
  </property>
</Properties>
</file>